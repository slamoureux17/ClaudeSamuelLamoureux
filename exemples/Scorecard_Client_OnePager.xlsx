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mionsbl-my.sharepoint.com/personal/slamoureux_camionsbl_ca/Documents/Bureau/"/>
    </mc:Choice>
  </mc:AlternateContent>
  <xr:revisionPtr revIDLastSave="171" documentId="8_{E7B5796F-3A12-453E-BBFD-8D8E1D0EE7D3}" xr6:coauthVersionLast="47" xr6:coauthVersionMax="47" xr10:uidLastSave="{95C5ABDB-47B7-422F-B839-CE144552B661}"/>
  <bookViews>
    <workbookView xWindow="-120" yWindow="-120" windowWidth="29040" windowHeight="15720" xr2:uid="{00000000-000D-0000-FFFF-FFFF00000000}"/>
  </bookViews>
  <sheets>
    <sheet name="Scorecard Cl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10" i="1"/>
  <c r="D10" i="1"/>
  <c r="B10" i="1"/>
  <c r="F7" i="1"/>
  <c r="F6" i="1"/>
  <c r="B27" i="1"/>
  <c r="B26" i="1"/>
</calcChain>
</file>

<file path=xl/sharedStrings.xml><?xml version="1.0" encoding="utf-8"?>
<sst xmlns="http://schemas.openxmlformats.org/spreadsheetml/2006/main" count="84" uniqueCount="74">
  <si>
    <t>Section / Élément</t>
  </si>
  <si>
    <t>1. Données historiques</t>
  </si>
  <si>
    <t>Points forts de la relation</t>
  </si>
  <si>
    <t>Enjeux ou points faibles</t>
  </si>
  <si>
    <t>Potentiel de croissance</t>
  </si>
  <si>
    <t>4. Plan d’action</t>
  </si>
  <si>
    <t>Action 1</t>
  </si>
  <si>
    <t>Responsable 1</t>
  </si>
  <si>
    <t>Échéance 1</t>
  </si>
  <si>
    <t>Suivi 1</t>
  </si>
  <si>
    <t>Action 2</t>
  </si>
  <si>
    <t>Responsable 2</t>
  </si>
  <si>
    <t>Échéance 2</t>
  </si>
  <si>
    <t>Suivi 2</t>
  </si>
  <si>
    <t>Action 3</t>
  </si>
  <si>
    <t>Responsable 3</t>
  </si>
  <si>
    <t>Échéance 3</t>
  </si>
  <si>
    <t>Suivi 3</t>
  </si>
  <si>
    <t>Potentiel annuel total (estimé)</t>
  </si>
  <si>
    <t>Revenus actuels avec Camions BL</t>
  </si>
  <si>
    <t>% de pénétration actuelle</t>
  </si>
  <si>
    <t>Gap à combler</t>
  </si>
  <si>
    <t>T1</t>
  </si>
  <si>
    <t>T2</t>
  </si>
  <si>
    <t>T3</t>
  </si>
  <si>
    <t>T4</t>
  </si>
  <si>
    <t>Revenus totaux pièces et services</t>
  </si>
  <si>
    <t xml:space="preserve">Marge brute </t>
  </si>
  <si>
    <t xml:space="preserve">Nombre de services utilisés </t>
  </si>
  <si>
    <t xml:space="preserve">   Pièces</t>
  </si>
  <si>
    <t xml:space="preserve">   Service</t>
  </si>
  <si>
    <t xml:space="preserve">   SAAQ</t>
  </si>
  <si>
    <t xml:space="preserve">   Alignement</t>
  </si>
  <si>
    <t xml:space="preserve">   Jockey</t>
  </si>
  <si>
    <t xml:space="preserve">   Académie</t>
  </si>
  <si>
    <t xml:space="preserve">Résultat Topgrading Client </t>
  </si>
  <si>
    <t>2. Potentiel global du client</t>
  </si>
  <si>
    <t>3. Analyse qualitative</t>
  </si>
  <si>
    <t>Notes</t>
  </si>
  <si>
    <t>Nom du client</t>
  </si>
  <si>
    <t>Num. adresse Serti</t>
  </si>
  <si>
    <t>TRAJMF</t>
  </si>
  <si>
    <t>JMF Transport (Fictif)</t>
  </si>
  <si>
    <t>2026 (projeté)</t>
  </si>
  <si>
    <t>X</t>
  </si>
  <si>
    <t>A</t>
  </si>
  <si>
    <t>Niveau de satisfaction client (/5)</t>
  </si>
  <si>
    <t>Relation de longue date, Danny très ouvert à communiquer ce qui ne va pas et on trouve des solutions</t>
  </si>
  <si>
    <t>Distance des emplacements limite l'utilisation de certains services, loue ses remorques chez un compétiteur</t>
  </si>
  <si>
    <t>5. Suivi de performance</t>
  </si>
  <si>
    <t>Reprendre le mandat des SAAQ perdus pour Inter à cause des frais de déplacement trop élévés</t>
  </si>
  <si>
    <t>Maxime</t>
  </si>
  <si>
    <t>11/01/2025</t>
  </si>
  <si>
    <t>Consolider le contrat d'approvisionnement pour ses pièces Meritor et ajuster ses prix</t>
  </si>
  <si>
    <t>Pascal</t>
  </si>
  <si>
    <t>08/31/2025</t>
  </si>
  <si>
    <t>Planifier une rencontre entre Danny et André Houle pour évaluer la location de remorques avec Location BL</t>
  </si>
  <si>
    <t>Samuel J.</t>
  </si>
  <si>
    <t>01/31/2026</t>
  </si>
  <si>
    <t>Recommencer à faire les SAAQ sur ses camions et remorques, location BL pour ses remorques, proposer jockey pour apporter plus de véhicules dans les succursales pour SAAQ, alignement et réparations moteur</t>
  </si>
  <si>
    <t>2026 Actuel</t>
  </si>
  <si>
    <t>Différence</t>
  </si>
  <si>
    <t>Résultats</t>
  </si>
  <si>
    <t>% Marge Service</t>
  </si>
  <si>
    <t>% Marge Pièces</t>
  </si>
  <si>
    <t>% Marge Global</t>
  </si>
  <si>
    <t xml:space="preserve">3 rencontres faites avec Danny, deal Meritor fait et prix ajustés. Impact négatif sur le % de marge. Plusieurs discussions autour du service de jockey, a encore des réticences. </t>
  </si>
  <si>
    <t>Fait 08/01/2025</t>
  </si>
  <si>
    <t>à planifier vers fin 2025 avant le début de sa saison de SAAQ</t>
  </si>
  <si>
    <t>Parler avec André, on convient de se reparler en novembre</t>
  </si>
  <si>
    <t xml:space="preserve">   Location BL</t>
  </si>
  <si>
    <t xml:space="preserve">   Ventes camions</t>
  </si>
  <si>
    <t xml:space="preserve">   Excelerator</t>
  </si>
  <si>
    <t xml:space="preserve">   Unité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</si>
</sst>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top"/>
    </xf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3" borderId="5" xfId="0" applyFill="1" applyBorder="1"/>
    <xf numFmtId="0" fontId="0" fillId="0" borderId="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3" zoomScaleNormal="100" workbookViewId="0">
      <selection activeCell="A11" sqref="A11:D21"/>
    </sheetView>
  </sheetViews>
  <sheetFormatPr baseColWidth="10" defaultColWidth="8.85546875" defaultRowHeight="15" x14ac:dyDescent="0.25"/>
  <cols>
    <col min="1" max="1" width="33.5703125" bestFit="1" customWidth="1"/>
    <col min="2" max="2" width="18.28515625" style="4" bestFit="1" customWidth="1"/>
    <col min="3" max="3" width="8.85546875" style="4"/>
    <col min="4" max="4" width="12.85546875" style="4" bestFit="1" customWidth="1"/>
    <col min="5" max="5" width="10.7109375" bestFit="1" customWidth="1"/>
    <col min="6" max="6" width="9.7109375" bestFit="1" customWidth="1"/>
    <col min="7" max="7" width="9.7109375" customWidth="1"/>
    <col min="8" max="8" width="20.28515625" bestFit="1" customWidth="1"/>
    <col min="9" max="9" width="9.28515625" customWidth="1"/>
    <col min="10" max="10" width="44.28515625" customWidth="1"/>
  </cols>
  <sheetData>
    <row r="1" spans="1:10" ht="30" x14ac:dyDescent="0.25">
      <c r="A1" t="s">
        <v>39</v>
      </c>
      <c r="B1" s="6" t="s">
        <v>42</v>
      </c>
    </row>
    <row r="2" spans="1:10" x14ac:dyDescent="0.25">
      <c r="A2" t="s">
        <v>40</v>
      </c>
      <c r="B2" s="4" t="s">
        <v>41</v>
      </c>
    </row>
    <row r="4" spans="1:10" x14ac:dyDescent="0.25">
      <c r="A4" s="1" t="s">
        <v>0</v>
      </c>
      <c r="B4" s="1">
        <v>2024</v>
      </c>
      <c r="C4" s="1">
        <v>2025</v>
      </c>
      <c r="D4" s="1" t="s">
        <v>43</v>
      </c>
      <c r="E4" s="1" t="s">
        <v>60</v>
      </c>
      <c r="F4" s="1" t="s">
        <v>61</v>
      </c>
      <c r="G4" s="7"/>
      <c r="H4" s="2" t="s">
        <v>49</v>
      </c>
      <c r="I4" s="2" t="s">
        <v>62</v>
      </c>
      <c r="J4" t="s">
        <v>38</v>
      </c>
    </row>
    <row r="5" spans="1:10" ht="60" x14ac:dyDescent="0.25">
      <c r="A5" s="2" t="s">
        <v>1</v>
      </c>
      <c r="H5" s="4" t="s">
        <v>22</v>
      </c>
      <c r="I5" s="8"/>
      <c r="J5" s="9" t="s">
        <v>66</v>
      </c>
    </row>
    <row r="6" spans="1:10" x14ac:dyDescent="0.25">
      <c r="A6" t="s">
        <v>26</v>
      </c>
      <c r="B6" s="4">
        <v>154877</v>
      </c>
      <c r="C6" s="4">
        <v>147899</v>
      </c>
      <c r="D6" s="4">
        <v>180000</v>
      </c>
      <c r="E6" s="4">
        <v>44788</v>
      </c>
      <c r="F6">
        <f>D6-E6</f>
        <v>135212</v>
      </c>
      <c r="H6" s="4" t="s">
        <v>23</v>
      </c>
    </row>
    <row r="7" spans="1:10" x14ac:dyDescent="0.25">
      <c r="A7" t="s">
        <v>27</v>
      </c>
      <c r="B7" s="4">
        <v>42588</v>
      </c>
      <c r="C7" s="4">
        <v>48755</v>
      </c>
      <c r="D7" s="4">
        <v>60000</v>
      </c>
      <c r="E7" s="4">
        <v>11966</v>
      </c>
      <c r="F7">
        <f>D7-E7</f>
        <v>48034</v>
      </c>
      <c r="H7" s="4" t="s">
        <v>24</v>
      </c>
    </row>
    <row r="8" spans="1:10" x14ac:dyDescent="0.25">
      <c r="A8" t="s">
        <v>63</v>
      </c>
      <c r="B8" s="5">
        <v>0.77</v>
      </c>
      <c r="C8" s="5">
        <v>0.77</v>
      </c>
      <c r="D8" s="5">
        <v>0.79</v>
      </c>
      <c r="E8" s="5">
        <v>0.79</v>
      </c>
      <c r="H8" s="4" t="s">
        <v>25</v>
      </c>
    </row>
    <row r="9" spans="1:10" x14ac:dyDescent="0.25">
      <c r="A9" t="s">
        <v>64</v>
      </c>
      <c r="B9" s="5">
        <v>0.21</v>
      </c>
      <c r="C9" s="5">
        <v>0.21</v>
      </c>
      <c r="D9" s="5">
        <v>0.24</v>
      </c>
      <c r="E9" s="5">
        <v>0.21</v>
      </c>
    </row>
    <row r="10" spans="1:10" x14ac:dyDescent="0.25">
      <c r="A10" t="s">
        <v>65</v>
      </c>
      <c r="B10" s="5">
        <f>B7/B6</f>
        <v>0.27497949986118014</v>
      </c>
      <c r="C10" s="5">
        <f t="shared" ref="C10:D10" si="0">C7/C6</f>
        <v>0.32965063996375904</v>
      </c>
      <c r="D10" s="5">
        <f t="shared" si="0"/>
        <v>0.33333333333333331</v>
      </c>
      <c r="E10" s="5">
        <f>E7/E6</f>
        <v>0.26716977761900507</v>
      </c>
      <c r="F10" s="4"/>
    </row>
    <row r="11" spans="1:10" x14ac:dyDescent="0.25">
      <c r="A11" s="3" t="s">
        <v>28</v>
      </c>
    </row>
    <row r="12" spans="1:10" x14ac:dyDescent="0.25">
      <c r="A12" t="s">
        <v>29</v>
      </c>
      <c r="B12" s="4" t="s">
        <v>44</v>
      </c>
      <c r="C12" s="4" t="s">
        <v>44</v>
      </c>
      <c r="D12" s="4" t="s">
        <v>44</v>
      </c>
    </row>
    <row r="13" spans="1:10" x14ac:dyDescent="0.25">
      <c r="A13" t="s">
        <v>72</v>
      </c>
    </row>
    <row r="14" spans="1:10" x14ac:dyDescent="0.25">
      <c r="A14" t="s">
        <v>30</v>
      </c>
      <c r="B14" s="4" t="s">
        <v>44</v>
      </c>
      <c r="C14" s="4" t="s">
        <v>44</v>
      </c>
      <c r="D14" s="4" t="s">
        <v>44</v>
      </c>
    </row>
    <row r="15" spans="1:10" x14ac:dyDescent="0.25">
      <c r="A15" t="s">
        <v>31</v>
      </c>
      <c r="B15" s="4" t="s">
        <v>44</v>
      </c>
      <c r="D15" s="4" t="s">
        <v>44</v>
      </c>
    </row>
    <row r="16" spans="1:10" x14ac:dyDescent="0.25">
      <c r="A16" t="s">
        <v>73</v>
      </c>
    </row>
    <row r="17" spans="1:5" x14ac:dyDescent="0.25">
      <c r="A17" t="s">
        <v>32</v>
      </c>
    </row>
    <row r="18" spans="1:5" x14ac:dyDescent="0.25">
      <c r="A18" t="s">
        <v>33</v>
      </c>
      <c r="B18" s="4" t="s">
        <v>44</v>
      </c>
    </row>
    <row r="19" spans="1:5" x14ac:dyDescent="0.25">
      <c r="A19" t="s">
        <v>70</v>
      </c>
    </row>
    <row r="20" spans="1:5" x14ac:dyDescent="0.25">
      <c r="A20" t="s">
        <v>71</v>
      </c>
    </row>
    <row r="21" spans="1:5" x14ac:dyDescent="0.25">
      <c r="A21" t="s">
        <v>34</v>
      </c>
    </row>
    <row r="23" spans="1:5" x14ac:dyDescent="0.25">
      <c r="A23" s="2" t="s">
        <v>36</v>
      </c>
      <c r="C23"/>
      <c r="D23"/>
    </row>
    <row r="24" spans="1:5" x14ac:dyDescent="0.25">
      <c r="A24" t="s">
        <v>18</v>
      </c>
      <c r="B24" s="4">
        <v>850000</v>
      </c>
      <c r="C24"/>
      <c r="D24"/>
    </row>
    <row r="25" spans="1:5" x14ac:dyDescent="0.25">
      <c r="A25" t="s">
        <v>19</v>
      </c>
      <c r="B25" s="4">
        <v>150000</v>
      </c>
    </row>
    <row r="26" spans="1:5" x14ac:dyDescent="0.25">
      <c r="A26" t="s">
        <v>20</v>
      </c>
      <c r="B26" s="5">
        <f>(B25/B24)</f>
        <v>0.17647058823529413</v>
      </c>
    </row>
    <row r="27" spans="1:5" x14ac:dyDescent="0.25">
      <c r="A27" t="s">
        <v>21</v>
      </c>
      <c r="B27" s="4">
        <f>B24-B25</f>
        <v>700000</v>
      </c>
    </row>
    <row r="29" spans="1:5" x14ac:dyDescent="0.25">
      <c r="A29" s="2" t="s">
        <v>37</v>
      </c>
      <c r="B29" s="4">
        <v>2024</v>
      </c>
      <c r="C29" s="4">
        <v>2025</v>
      </c>
      <c r="D29" s="4">
        <v>2026</v>
      </c>
    </row>
    <row r="30" spans="1:5" x14ac:dyDescent="0.25">
      <c r="A30" t="s">
        <v>35</v>
      </c>
      <c r="B30" s="4" t="s">
        <v>45</v>
      </c>
      <c r="C30" s="4" t="s">
        <v>45</v>
      </c>
      <c r="D30" s="4" t="s">
        <v>45</v>
      </c>
    </row>
    <row r="31" spans="1:5" x14ac:dyDescent="0.25">
      <c r="A31" t="s">
        <v>46</v>
      </c>
      <c r="B31" s="4">
        <v>4</v>
      </c>
    </row>
    <row r="32" spans="1:5" ht="78.599999999999994" customHeight="1" x14ac:dyDescent="0.25">
      <c r="A32" t="s">
        <v>2</v>
      </c>
      <c r="B32" s="10" t="s">
        <v>47</v>
      </c>
      <c r="C32" s="10"/>
      <c r="D32" s="10"/>
      <c r="E32" s="10"/>
    </row>
    <row r="33" spans="1:5" ht="47.45" customHeight="1" x14ac:dyDescent="0.25">
      <c r="A33" t="s">
        <v>3</v>
      </c>
      <c r="B33" s="10" t="s">
        <v>48</v>
      </c>
      <c r="C33" s="10"/>
      <c r="D33" s="10"/>
      <c r="E33" s="10"/>
    </row>
    <row r="34" spans="1:5" ht="86.45" customHeight="1" x14ac:dyDescent="0.25">
      <c r="A34" t="s">
        <v>4</v>
      </c>
      <c r="B34" s="10" t="s">
        <v>59</v>
      </c>
      <c r="C34" s="10"/>
      <c r="D34" s="10"/>
      <c r="E34" s="10"/>
    </row>
    <row r="36" spans="1:5" ht="15.75" thickBot="1" x14ac:dyDescent="0.3"/>
    <row r="37" spans="1:5" x14ac:dyDescent="0.25">
      <c r="A37" s="11" t="s">
        <v>5</v>
      </c>
      <c r="B37" s="12"/>
      <c r="C37" s="12"/>
      <c r="D37" s="12"/>
      <c r="E37" s="13"/>
    </row>
    <row r="38" spans="1:5" ht="31.15" customHeight="1" x14ac:dyDescent="0.25">
      <c r="A38" s="14" t="s">
        <v>6</v>
      </c>
      <c r="B38" s="15" t="s">
        <v>50</v>
      </c>
      <c r="C38" s="15"/>
      <c r="D38" s="15"/>
      <c r="E38" s="16"/>
    </row>
    <row r="39" spans="1:5" x14ac:dyDescent="0.25">
      <c r="A39" s="17" t="s">
        <v>7</v>
      </c>
      <c r="B39" s="15" t="s">
        <v>51</v>
      </c>
      <c r="C39" s="15"/>
      <c r="D39" s="15"/>
      <c r="E39" s="16"/>
    </row>
    <row r="40" spans="1:5" x14ac:dyDescent="0.25">
      <c r="A40" s="17" t="s">
        <v>8</v>
      </c>
      <c r="B40" s="15" t="s">
        <v>52</v>
      </c>
      <c r="C40" s="15"/>
      <c r="D40" s="15"/>
      <c r="E40" s="16"/>
    </row>
    <row r="41" spans="1:5" ht="36" customHeight="1" x14ac:dyDescent="0.25">
      <c r="A41" s="17" t="s">
        <v>9</v>
      </c>
      <c r="B41" s="15" t="s">
        <v>68</v>
      </c>
      <c r="C41" s="15"/>
      <c r="D41" s="15"/>
      <c r="E41" s="16"/>
    </row>
    <row r="42" spans="1:5" x14ac:dyDescent="0.25">
      <c r="A42" s="17"/>
      <c r="B42" s="15"/>
      <c r="C42" s="15"/>
      <c r="D42" s="15"/>
      <c r="E42" s="16"/>
    </row>
    <row r="43" spans="1:5" ht="33" customHeight="1" x14ac:dyDescent="0.25">
      <c r="A43" s="14" t="s">
        <v>10</v>
      </c>
      <c r="B43" s="15" t="s">
        <v>53</v>
      </c>
      <c r="C43" s="15"/>
      <c r="D43" s="15"/>
      <c r="E43" s="16"/>
    </row>
    <row r="44" spans="1:5" x14ac:dyDescent="0.25">
      <c r="A44" s="17" t="s">
        <v>11</v>
      </c>
      <c r="B44" s="15" t="s">
        <v>54</v>
      </c>
      <c r="C44" s="15"/>
      <c r="D44" s="15"/>
      <c r="E44" s="16"/>
    </row>
    <row r="45" spans="1:5" x14ac:dyDescent="0.25">
      <c r="A45" s="17" t="s">
        <v>12</v>
      </c>
      <c r="B45" s="15" t="s">
        <v>55</v>
      </c>
      <c r="C45" s="15"/>
      <c r="D45" s="15"/>
      <c r="E45" s="16"/>
    </row>
    <row r="46" spans="1:5" x14ac:dyDescent="0.25">
      <c r="A46" s="17" t="s">
        <v>13</v>
      </c>
      <c r="B46" s="15" t="s">
        <v>67</v>
      </c>
      <c r="C46" s="15"/>
      <c r="D46" s="15"/>
      <c r="E46" s="16"/>
    </row>
    <row r="47" spans="1:5" x14ac:dyDescent="0.25">
      <c r="A47" s="17"/>
      <c r="B47" s="15"/>
      <c r="C47" s="15"/>
      <c r="D47" s="15"/>
      <c r="E47" s="16"/>
    </row>
    <row r="48" spans="1:5" ht="43.15" customHeight="1" x14ac:dyDescent="0.25">
      <c r="A48" s="14" t="s">
        <v>14</v>
      </c>
      <c r="B48" s="15" t="s">
        <v>56</v>
      </c>
      <c r="C48" s="15"/>
      <c r="D48" s="15"/>
      <c r="E48" s="16"/>
    </row>
    <row r="49" spans="1:5" x14ac:dyDescent="0.25">
      <c r="A49" s="17" t="s">
        <v>15</v>
      </c>
      <c r="B49" s="15" t="s">
        <v>57</v>
      </c>
      <c r="C49" s="15"/>
      <c r="D49" s="15"/>
      <c r="E49" s="16"/>
    </row>
    <row r="50" spans="1:5" x14ac:dyDescent="0.25">
      <c r="A50" s="17" t="s">
        <v>16</v>
      </c>
      <c r="B50" s="15" t="s">
        <v>58</v>
      </c>
      <c r="C50" s="15"/>
      <c r="D50" s="15"/>
      <c r="E50" s="16"/>
    </row>
    <row r="51" spans="1:5" ht="30.6" customHeight="1" thickBot="1" x14ac:dyDescent="0.3">
      <c r="A51" s="18" t="s">
        <v>17</v>
      </c>
      <c r="B51" s="19" t="s">
        <v>69</v>
      </c>
      <c r="C51" s="19"/>
      <c r="D51" s="19"/>
      <c r="E51" s="20"/>
    </row>
  </sheetData>
  <mergeCells count="17">
    <mergeCell ref="B47:E47"/>
    <mergeCell ref="B48:E48"/>
    <mergeCell ref="B49:E49"/>
    <mergeCell ref="B50:E50"/>
    <mergeCell ref="B51:E51"/>
    <mergeCell ref="B46:E46"/>
    <mergeCell ref="B32:E32"/>
    <mergeCell ref="B33:E33"/>
    <mergeCell ref="B34:E34"/>
    <mergeCell ref="B38:E38"/>
    <mergeCell ref="B39:E39"/>
    <mergeCell ref="B40:E40"/>
    <mergeCell ref="B41:E41"/>
    <mergeCell ref="B42:E42"/>
    <mergeCell ref="B43:E43"/>
    <mergeCell ref="B44:E44"/>
    <mergeCell ref="B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Scorecard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Lamoureux</dc:creator>
  <cp:lastModifiedBy>Samuel Lamoureux</cp:lastModifiedBy>
  <dcterms:created xsi:type="dcterms:W3CDTF">2025-07-25T18:34:02Z</dcterms:created>
  <dcterms:modified xsi:type="dcterms:W3CDTF">2025-10-28T18:07:37Z</dcterms:modified>
</cp:coreProperties>
</file>